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24" sheetId="1" r:id="rId5"/>
  </sheets>
  <definedNames/>
  <calcPr/>
</workbook>
</file>

<file path=xl/sharedStrings.xml><?xml version="1.0" encoding="utf-8"?>
<sst xmlns="http://schemas.openxmlformats.org/spreadsheetml/2006/main" count="21" uniqueCount="14">
  <si>
    <t>PROBABILITY</t>
  </si>
  <si>
    <t>INITIAL VALUE</t>
  </si>
  <si>
    <t>VALID</t>
  </si>
  <si>
    <t>WRONG</t>
  </si>
  <si>
    <t>DISCARDED</t>
  </si>
  <si>
    <t>total</t>
  </si>
  <si>
    <t>success rate</t>
  </si>
  <si>
    <t>logical error rate</t>
  </si>
  <si>
    <t>curve_fit: a * x ** b</t>
  </si>
  <si>
    <t>+</t>
  </si>
  <si>
    <t>(a, b) = (393.79274111,   2.91728996)</t>
  </si>
  <si>
    <t>(a, b) = (866.73259462,   3.29551484)</t>
  </si>
  <si>
    <t>python3 src/lattice_surgery_error_detection.py --max-shots=100_000_000_000 --max-errors=500 --parallelism=90 --error-probability=$PROBABILITY --perfect-initialization --steane-syndrome-extraction-pattern=ZXZ --surface-distance=5 --initial-value=&lt;INITIAL_VALUE&gt; --full-post-selection</t>
  </si>
  <si>
    <t>commit=6ebf2af07c2c5f38ba0e01bfecc47708354276d7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</si>
</sst>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1" numFmtId="11" xfId="0" applyFont="1" applyNumberFormat="1"/>
    <xf borderId="0" fillId="2" fontId="1" numFmtId="0" xfId="0" applyAlignment="1" applyFill="1" applyFont="1">
      <alignment readingOrder="0"/>
    </xf>
    <xf quotePrefix="1" borderId="0" fillId="2" fontId="1" numFmtId="0" xfId="0" applyAlignment="1" applyFont="1">
      <alignment readingOrder="0"/>
    </xf>
    <xf borderId="0" fillId="2" fontId="1" numFmtId="0" xfId="0" applyFont="1"/>
    <xf borderId="0" fillId="2" fontId="1" numFmtId="0" xfId="0" applyFont="1"/>
    <xf borderId="0" fillId="2" fontId="1" numFmtId="11" xfId="0" applyFont="1" applyNumberFormat="1"/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full post selection, perfect initialization, surface-distance=5, ZXZ</a:t>
            </a:r>
          </a:p>
        </c:rich>
      </c:tx>
      <c:overlay val="0"/>
    </c:title>
    <c:plotArea>
      <c:layout/>
      <c:lineChart>
        <c:ser>
          <c:idx val="0"/>
          <c:order val="0"/>
          <c:tx>
            <c:v>+ (Z error)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'924'!$A$2:$A$99</c:f>
            </c:strRef>
          </c:cat>
          <c:val>
            <c:numRef>
              <c:f>'924'!$L$2:$L$9</c:f>
              <c:numCache/>
            </c:numRef>
          </c:val>
          <c:smooth val="0"/>
        </c:ser>
        <c:ser>
          <c:idx val="1"/>
          <c:order val="1"/>
          <c:tx>
            <c:v>0 (X error)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'924'!$A$2:$A$99</c:f>
            </c:strRef>
          </c:cat>
          <c:val>
            <c:numRef>
              <c:f>'924'!$M$14:$M$21</c:f>
              <c:numCache/>
            </c:numRef>
          </c:val>
          <c:smooth val="0"/>
        </c:ser>
        <c:axId val="1376098528"/>
        <c:axId val="258553313"/>
      </c:lineChart>
      <c:catAx>
        <c:axId val="1376098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physical error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553313"/>
      </c:catAx>
      <c:valAx>
        <c:axId val="258553313"/>
        <c:scaling>
          <c:orientation val="minMax"/>
          <c:max val="1.0E-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logical error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0985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3514725</xdr:colOff>
      <xdr:row>2</xdr:row>
      <xdr:rowOff>9525</xdr:rowOff>
    </xdr:from>
    <xdr:ext cx="5753100" cy="3533775"/>
    <xdr:graphicFrame>
      <xdr:nvGraphicFramePr>
        <xdr:cNvPr id="1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5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J1" s="1" t="s">
        <v>8</v>
      </c>
    </row>
    <row r="2">
      <c r="A2" s="1">
        <v>0.002</v>
      </c>
      <c r="B2" s="3" t="s">
        <v>9</v>
      </c>
      <c r="C2" s="1">
        <v>9.6722196E7</v>
      </c>
      <c r="D2" s="1">
        <v>509.0</v>
      </c>
      <c r="E2" s="1">
        <v>8.59646376E8</v>
      </c>
      <c r="F2" s="4">
        <f t="shared" ref="F2:F9" si="1">C2+D2+E2</f>
        <v>956369081</v>
      </c>
      <c r="G2" s="5">
        <f t="shared" ref="G2:G9" si="2">(C2+D2)/F2</f>
        <v>0.1011353325</v>
      </c>
      <c r="H2" s="6">
        <f t="shared" ref="H2:H9" si="3">D2/(C2+D2)</f>
        <v>0.000005262466553</v>
      </c>
      <c r="L2" s="6">
        <f t="shared" ref="L2:L9" si="4">H2</f>
        <v>0.000005262466553</v>
      </c>
    </row>
    <row r="3">
      <c r="A3" s="1">
        <v>0.0017</v>
      </c>
      <c r="B3" s="3" t="s">
        <v>9</v>
      </c>
      <c r="C3" s="1">
        <v>1.55851217E8</v>
      </c>
      <c r="D3" s="1">
        <v>510.0</v>
      </c>
      <c r="E3" s="1">
        <v>9.37011719E8</v>
      </c>
      <c r="F3" s="4">
        <f t="shared" si="1"/>
        <v>1092863446</v>
      </c>
      <c r="G3" s="5">
        <f t="shared" si="2"/>
        <v>0.1426086009</v>
      </c>
      <c r="H3" s="6">
        <f t="shared" si="3"/>
        <v>0.000003272341024</v>
      </c>
      <c r="L3" s="6">
        <f t="shared" si="4"/>
        <v>0.000003272341024</v>
      </c>
    </row>
    <row r="4">
      <c r="A4" s="1">
        <v>0.0014</v>
      </c>
      <c r="B4" s="3" t="s">
        <v>9</v>
      </c>
      <c r="C4" s="1">
        <v>2.63549536E8</v>
      </c>
      <c r="D4" s="1">
        <v>505.0</v>
      </c>
      <c r="E4" s="1">
        <v>1.047309558E9</v>
      </c>
      <c r="F4" s="4">
        <f t="shared" si="1"/>
        <v>1310859599</v>
      </c>
      <c r="G4" s="5">
        <f t="shared" si="2"/>
        <v>0.2010513111</v>
      </c>
      <c r="H4" s="6">
        <f t="shared" si="3"/>
        <v>0.000001916144646</v>
      </c>
      <c r="L4" s="6">
        <f t="shared" si="4"/>
        <v>0.000001916144646</v>
      </c>
    </row>
    <row r="5">
      <c r="A5" s="1">
        <v>0.0012</v>
      </c>
      <c r="B5" s="3" t="s">
        <v>9</v>
      </c>
      <c r="C5" s="1">
        <v>4.1953963E8</v>
      </c>
      <c r="D5" s="1">
        <v>505.0</v>
      </c>
      <c r="E5" s="1">
        <v>1.239946393E9</v>
      </c>
      <c r="F5" s="4">
        <f t="shared" si="1"/>
        <v>1659486528</v>
      </c>
      <c r="G5" s="5">
        <f t="shared" si="2"/>
        <v>0.2528132214</v>
      </c>
      <c r="H5" s="6">
        <f t="shared" si="3"/>
        <v>0.000001203698902</v>
      </c>
      <c r="L5" s="6">
        <f t="shared" si="4"/>
        <v>0.000001203698902</v>
      </c>
    </row>
    <row r="6">
      <c r="A6" s="7">
        <v>0.001</v>
      </c>
      <c r="B6" s="8" t="s">
        <v>9</v>
      </c>
      <c r="C6" s="7">
        <v>8.0921925E8</v>
      </c>
      <c r="D6" s="7">
        <v>502.0</v>
      </c>
      <c r="E6" s="7">
        <v>1.736300599E9</v>
      </c>
      <c r="F6" s="9">
        <f t="shared" si="1"/>
        <v>2545520351</v>
      </c>
      <c r="G6" s="10">
        <f t="shared" si="2"/>
        <v>0.3178995413</v>
      </c>
      <c r="H6" s="11">
        <f t="shared" si="3"/>
        <v>0.0000006203506511</v>
      </c>
      <c r="I6" s="10"/>
      <c r="J6" s="10"/>
      <c r="K6" s="10"/>
      <c r="L6" s="11">
        <f t="shared" si="4"/>
        <v>0.0000006203506511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">
        <v>8.0E-4</v>
      </c>
      <c r="B7" s="3" t="s">
        <v>9</v>
      </c>
      <c r="C7" s="1">
        <v>1.440893234E9</v>
      </c>
      <c r="D7" s="1">
        <v>509.0</v>
      </c>
      <c r="E7" s="1">
        <v>2.163473255E9</v>
      </c>
      <c r="F7" s="4">
        <f t="shared" si="1"/>
        <v>3604366998</v>
      </c>
      <c r="G7" s="5">
        <f t="shared" si="2"/>
        <v>0.399763327</v>
      </c>
      <c r="H7" s="6">
        <f t="shared" si="3"/>
        <v>0.000000353252974</v>
      </c>
      <c r="L7" s="6">
        <f t="shared" si="4"/>
        <v>0.000000353252974</v>
      </c>
    </row>
    <row r="8">
      <c r="A8" s="1">
        <v>6.0E-4</v>
      </c>
      <c r="B8" s="3" t="s">
        <v>9</v>
      </c>
      <c r="C8" s="1">
        <v>3.33061908E9</v>
      </c>
      <c r="D8" s="1">
        <v>505.0</v>
      </c>
      <c r="E8" s="1">
        <v>3.294338114E9</v>
      </c>
      <c r="F8" s="4">
        <f t="shared" si="1"/>
        <v>6624957699</v>
      </c>
      <c r="G8" s="5">
        <f t="shared" si="2"/>
        <v>0.5027382417</v>
      </c>
      <c r="H8" s="6">
        <f t="shared" si="3"/>
        <v>0.0000001516234404</v>
      </c>
      <c r="L8" s="6">
        <f t="shared" si="4"/>
        <v>0.0000001516234404</v>
      </c>
    </row>
    <row r="9">
      <c r="A9" s="1">
        <v>5.0E-4</v>
      </c>
      <c r="B9" s="3" t="s">
        <v>9</v>
      </c>
      <c r="C9" s="1">
        <v>5.885297276E9</v>
      </c>
      <c r="D9" s="1">
        <v>504.0</v>
      </c>
      <c r="E9" s="1">
        <v>4.553544149E9</v>
      </c>
      <c r="F9" s="4">
        <f t="shared" si="1"/>
        <v>10438841929</v>
      </c>
      <c r="G9" s="5">
        <f t="shared" si="2"/>
        <v>0.56378838</v>
      </c>
      <c r="H9" s="6">
        <f t="shared" si="3"/>
        <v>0.00000008563712812</v>
      </c>
      <c r="L9" s="6">
        <f t="shared" si="4"/>
        <v>0.00000008563712812</v>
      </c>
    </row>
    <row r="10">
      <c r="F10" s="4"/>
      <c r="J10" s="1" t="s">
        <v>10</v>
      </c>
    </row>
    <row r="11">
      <c r="F11" s="4"/>
    </row>
    <row r="12">
      <c r="F12" s="4"/>
    </row>
    <row r="13">
      <c r="F13" s="4"/>
    </row>
    <row r="14">
      <c r="A14" s="1">
        <v>0.002</v>
      </c>
      <c r="B14" s="1">
        <v>0.0</v>
      </c>
      <c r="C14" s="1">
        <v>4.51671623E8</v>
      </c>
      <c r="D14" s="1">
        <v>507.0</v>
      </c>
      <c r="E14" s="1">
        <v>3.98778645E9</v>
      </c>
      <c r="F14" s="4">
        <f t="shared" ref="F14:F21" si="5">C14+D14+E14</f>
        <v>4439458580</v>
      </c>
      <c r="G14" s="5">
        <f t="shared" ref="G14:G21" si="6">(C14+D14)/F14</f>
        <v>0.1017403636</v>
      </c>
      <c r="H14" s="6">
        <f t="shared" ref="H14:H21" si="7">D14/(C14+D14)</f>
        <v>0.000001122495647</v>
      </c>
      <c r="M14" s="6">
        <f t="shared" ref="M14:M21" si="8">H14</f>
        <v>0.000001122495647</v>
      </c>
    </row>
    <row r="15">
      <c r="A15" s="1">
        <v>0.0017</v>
      </c>
      <c r="B15" s="1">
        <v>0.0</v>
      </c>
      <c r="C15" s="1">
        <v>8.28257983E8</v>
      </c>
      <c r="D15" s="1">
        <v>506.0</v>
      </c>
      <c r="E15" s="1">
        <v>4.951067831E9</v>
      </c>
      <c r="F15" s="4">
        <f t="shared" si="5"/>
        <v>5779326320</v>
      </c>
      <c r="G15" s="5">
        <f t="shared" si="6"/>
        <v>0.1433140202</v>
      </c>
      <c r="H15" s="6">
        <f t="shared" si="7"/>
        <v>0.0000006109203911</v>
      </c>
      <c r="M15" s="6">
        <f t="shared" si="8"/>
        <v>0.0000006109203911</v>
      </c>
    </row>
    <row r="16">
      <c r="A16" s="1">
        <v>0.0014</v>
      </c>
      <c r="B16" s="1">
        <v>0.0</v>
      </c>
      <c r="C16" s="1">
        <v>1.451634144E9</v>
      </c>
      <c r="D16" s="1">
        <v>502.0</v>
      </c>
      <c r="E16" s="1">
        <v>5.738772485E9</v>
      </c>
      <c r="F16" s="4">
        <f t="shared" si="5"/>
        <v>7190407131</v>
      </c>
      <c r="G16" s="5">
        <f t="shared" si="6"/>
        <v>0.201884903</v>
      </c>
      <c r="H16" s="6">
        <f t="shared" si="7"/>
        <v>0.0000003458170425</v>
      </c>
      <c r="M16" s="6">
        <f t="shared" si="8"/>
        <v>0.0000003458170425</v>
      </c>
    </row>
    <row r="17">
      <c r="A17" s="1">
        <v>0.0012</v>
      </c>
      <c r="B17" s="1">
        <v>0.0</v>
      </c>
      <c r="C17" s="1">
        <v>2.29826221E9</v>
      </c>
      <c r="D17" s="1">
        <v>503.0</v>
      </c>
      <c r="E17" s="1">
        <v>6.76034425E9</v>
      </c>
      <c r="F17" s="4">
        <f t="shared" si="5"/>
        <v>9058606963</v>
      </c>
      <c r="G17" s="5">
        <f t="shared" si="6"/>
        <v>0.2537103908</v>
      </c>
      <c r="H17" s="6">
        <f t="shared" si="7"/>
        <v>0.0000002188609671</v>
      </c>
      <c r="M17" s="6">
        <f t="shared" si="8"/>
        <v>0.0000002188609671</v>
      </c>
    </row>
    <row r="18">
      <c r="A18" s="7">
        <v>0.001</v>
      </c>
      <c r="B18" s="7">
        <v>0.0</v>
      </c>
      <c r="C18" s="7">
        <v>3.983127409E9</v>
      </c>
      <c r="D18" s="7">
        <v>502.0</v>
      </c>
      <c r="E18" s="7">
        <v>8.508944398E9</v>
      </c>
      <c r="F18" s="9">
        <f t="shared" si="5"/>
        <v>12492072309</v>
      </c>
      <c r="G18" s="10">
        <f t="shared" si="6"/>
        <v>0.318852454</v>
      </c>
      <c r="H18" s="11">
        <f t="shared" si="7"/>
        <v>0.0000001260316041</v>
      </c>
      <c r="I18" s="10"/>
      <c r="J18" s="10"/>
      <c r="K18" s="10"/>
      <c r="L18" s="10"/>
      <c r="M18" s="11">
        <f t="shared" si="8"/>
        <v>0.0000001260316041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">
        <v>8.0E-4</v>
      </c>
      <c r="B19" s="1">
        <v>0.0</v>
      </c>
      <c r="C19" s="1">
        <v>7.99079762E9</v>
      </c>
      <c r="D19" s="1">
        <v>502.0</v>
      </c>
      <c r="E19" s="1">
        <v>1.1950327614E10</v>
      </c>
      <c r="F19" s="4">
        <f t="shared" si="5"/>
        <v>19941125736</v>
      </c>
      <c r="G19" s="5">
        <f t="shared" si="6"/>
        <v>0.4007195094</v>
      </c>
      <c r="H19" s="6">
        <f t="shared" si="7"/>
        <v>0.00000006282226035</v>
      </c>
      <c r="M19" s="6">
        <f t="shared" si="8"/>
        <v>0.00000006282226035</v>
      </c>
    </row>
    <row r="20">
      <c r="A20" s="1">
        <v>6.0E-4</v>
      </c>
      <c r="B20" s="1">
        <v>0.0</v>
      </c>
      <c r="C20" s="1">
        <v>1.774512239E10</v>
      </c>
      <c r="D20" s="1">
        <v>503.0</v>
      </c>
      <c r="E20" s="1">
        <v>1.7489165475E10</v>
      </c>
      <c r="F20" s="4">
        <f t="shared" si="5"/>
        <v>35234288368</v>
      </c>
      <c r="G20" s="5">
        <f t="shared" si="6"/>
        <v>0.5036322206</v>
      </c>
      <c r="H20" s="6">
        <f t="shared" si="7"/>
        <v>0.00000002834581665</v>
      </c>
      <c r="M20" s="6">
        <f t="shared" si="8"/>
        <v>0.00000002834581665</v>
      </c>
    </row>
    <row r="21">
      <c r="A21" s="1">
        <v>5.0E-4</v>
      </c>
      <c r="B21" s="1">
        <v>0.0</v>
      </c>
      <c r="C21" s="1">
        <v>3.3332089798E10</v>
      </c>
      <c r="D21" s="1">
        <v>502.0</v>
      </c>
      <c r="E21" s="1">
        <v>2.57030169E10</v>
      </c>
      <c r="F21" s="4">
        <f t="shared" si="5"/>
        <v>59035107200</v>
      </c>
      <c r="G21" s="5">
        <f t="shared" si="6"/>
        <v>0.5646147162</v>
      </c>
      <c r="H21" s="6">
        <f t="shared" si="7"/>
        <v>0.00000001506056162</v>
      </c>
      <c r="M21" s="6">
        <f t="shared" si="8"/>
        <v>0.00000001506056162</v>
      </c>
    </row>
    <row r="22">
      <c r="J22" s="1" t="s">
        <v>11</v>
      </c>
    </row>
    <row r="27">
      <c r="J27" s="12" t="s">
        <v>12</v>
      </c>
    </row>
    <row r="28">
      <c r="J28" s="13" t="s">
        <v>13</v>
      </c>
    </row>
  </sheetData>
  <drawing r:id="rId1"/>
</worksheet>
</file>